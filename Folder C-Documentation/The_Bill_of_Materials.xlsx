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lacza-my.sharepoint.com/personal/202020165_myturf_ul_ac_za/Documents/"/>
    </mc:Choice>
  </mc:AlternateContent>
  <xr:revisionPtr revIDLastSave="34" documentId="13_ncr:20001_{B9C8E838-BBB0-4F52-BD80-CE677E20E843}" xr6:coauthVersionLast="47" xr6:coauthVersionMax="47" xr10:uidLastSave="{26DCB89F-3167-41F6-AE31-D9BAE893BD5E}"/>
  <bookViews>
    <workbookView xWindow="-110" yWindow="-110" windowWidth="19420" windowHeight="11500" xr2:uid="{00000000-000D-0000-FFFF-FFFF00000000}"/>
  </bookViews>
  <sheets>
    <sheet name="Bill of Materials" sheetId="1" r:id="rId1"/>
    <sheet name="Assumptions &amp; Sources" sheetId="2" r:id="rId2"/>
  </sheets>
  <definedNames>
    <definedName name="_xlnm._FilterDatabase" localSheetId="0" hidden="1">'Bill of Materials'!$A$4:$L$30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8" i="1"/>
  <c r="G25" i="1"/>
  <c r="G26" i="1"/>
  <c r="G27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7" i="1"/>
  <c r="G6" i="1"/>
  <c r="G5" i="1"/>
</calcChain>
</file>

<file path=xl/sharedStrings.xml><?xml version="1.0" encoding="utf-8"?>
<sst xmlns="http://schemas.openxmlformats.org/spreadsheetml/2006/main" count="248" uniqueCount="175">
  <si>
    <t>Component Name</t>
  </si>
  <si>
    <t>Quantity</t>
  </si>
  <si>
    <t>Cost per Unit (ZAR)</t>
  </si>
  <si>
    <t>Supplier Name</t>
  </si>
  <si>
    <t>Supplier Stock Code</t>
  </si>
  <si>
    <t>Direct URL / Link to Buy</t>
  </si>
  <si>
    <t>Total Cost (ZAR)</t>
  </si>
  <si>
    <t>Pricing Basis</t>
  </si>
  <si>
    <t>Procurement Status</t>
  </si>
  <si>
    <t>Notes</t>
  </si>
  <si>
    <t>System Function</t>
  </si>
  <si>
    <t>Wokwi Representation</t>
  </si>
  <si>
    <t>Arduino UNO Rev3 development board</t>
  </si>
  <si>
    <t>Arduino Official Store</t>
  </si>
  <si>
    <t>A000066</t>
  </si>
  <si>
    <t>https://store.arduino.cc/products/arduino-uno-rev3</t>
  </si>
  <si>
    <t>Published price</t>
  </si>
  <si>
    <t>Review before purchase</t>
  </si>
  <si>
    <t>Published price converted from EUR 29.30 at EUR 1 = R18.5326</t>
  </si>
  <si>
    <t>Control cabinet / MCU</t>
  </si>
  <si>
    <t>Arduino Uno</t>
  </si>
  <si>
    <t>MH-Z19B NDIR CO2 sensor</t>
  </si>
  <si>
    <t>Nerokas Engineering Solutions</t>
  </si>
  <si>
    <t>SKU-3188</t>
  </si>
  <si>
    <t>https://store.nerokas.co.ke/SKU-3188</t>
  </si>
  <si>
    <t>Listed at KES 6,500; stock status should be reconfirmed</t>
  </si>
  <si>
    <t>CO₂ measurement (physical option)</t>
  </si>
  <si>
    <t>Potentiometer 1</t>
  </si>
  <si>
    <t>DHT22 temperature and humidity sensor</t>
  </si>
  <si>
    <t>Generic electronics supplier</t>
  </si>
  <si>
    <t>DHT22</t>
  </si>
  <si>
    <t>https://www.adafruit.com/product/385</t>
  </si>
  <si>
    <t>Budget estimate</t>
  </si>
  <si>
    <t>Replaces DS18B20 in the updated design; verify local price</t>
  </si>
  <si>
    <t>Actual temperature sensing</t>
  </si>
  <si>
    <t>Water-level sensor</t>
  </si>
  <si>
    <t>WATER-LEVEL-5V</t>
  </si>
  <si>
    <t>https://www.dfrobot.com/product-1083.html</t>
  </si>
  <si>
    <t>Physical option; software prototype uses a simulated level value</t>
  </si>
  <si>
    <t>Water reservoir level</t>
  </si>
  <si>
    <t>Water-level simulation</t>
  </si>
  <si>
    <t>0.96-inch I2C OLED display</t>
  </si>
  <si>
    <t>OLED-096-I2C</t>
  </si>
  <si>
    <t>https://www.adafruit.com/product/938</t>
  </si>
  <si>
    <t>Monitoring display</t>
  </si>
  <si>
    <t>OLED</t>
  </si>
  <si>
    <t>SG90 micro servo</t>
  </si>
  <si>
    <t>SG90</t>
  </si>
  <si>
    <t>https://www.adafruit.com/product/169</t>
  </si>
  <si>
    <t>Valve / flow control</t>
  </si>
  <si>
    <t>Servo motor</t>
  </si>
  <si>
    <t>LED indicator set (green/red/blue) + resistors</t>
  </si>
  <si>
    <t>LED-SET-3COLOR</t>
  </si>
  <si>
    <t>https://www.adafruit.com/category/37</t>
  </si>
  <si>
    <t>Green = capture; red = regeneration; blue = electrochemical conversion</t>
  </si>
  <si>
    <t>Operating-state indication</t>
  </si>
  <si>
    <t>Green, red and blue LEDs</t>
  </si>
  <si>
    <t>Momentary ON/OFF push button</t>
  </si>
  <si>
    <t>PUSHBUTTON-22MM</t>
  </si>
  <si>
    <t>https://www.adafruit.com/category/365</t>
  </si>
  <si>
    <t>Start / control input</t>
  </si>
  <si>
    <t>Push button</t>
  </si>
  <si>
    <t>Emergency-stop mushroom switch, latching NC</t>
  </si>
  <si>
    <t>Mouser Electronics</t>
  </si>
  <si>
    <t>E-STOP-NC-22MM</t>
  </si>
  <si>
    <t>https://www.mouser.ca/c/electromechanical/switches/pushbutton-switches/</t>
  </si>
  <si>
    <t>Select a normally-closed latching part</t>
  </si>
  <si>
    <t>Safety interlock</t>
  </si>
  <si>
    <t>Emergency-stop input</t>
  </si>
  <si>
    <t>MOSFET driver / relay module</t>
  </si>
  <si>
    <t>MOSFET-DRIVER-1CH</t>
  </si>
  <si>
    <t>https://www.elecrow.com/quad-mosfet-cnc-io-module.html</t>
  </si>
  <si>
    <t>Switching heater, fan, pump or other loads</t>
  </si>
  <si>
    <t>Digital outputs / simulated actuators</t>
  </si>
  <si>
    <t>5 V DC fan</t>
  </si>
  <si>
    <t>FAN-5V-40MM</t>
  </si>
  <si>
    <t>https://www.adafruit.com/category/569</t>
  </si>
  <si>
    <t>Air intake / CO₂ flow</t>
  </si>
  <si>
    <t>Simulated by control logic</t>
  </si>
  <si>
    <t>5 V mini water pump</t>
  </si>
  <si>
    <t>PUMP-5V-MINI</t>
  </si>
  <si>
    <t>https://www.adafruit.com/product/1150</t>
  </si>
  <si>
    <t>Adafruit Water Pump - 5V, product 1150; verify current stock and local availability.</t>
  </si>
  <si>
    <t>Water transfer to conversion cell</t>
  </si>
  <si>
    <t>Simulated by flow-control logic</t>
  </si>
  <si>
    <t>Buzzer / alarm indicator</t>
  </si>
  <si>
    <t>BUZZER-5V</t>
  </si>
  <si>
    <t>https://www.adafruit.com/category/84</t>
  </si>
  <si>
    <t>Add to Wokwi for low-water, high-temperature and tank-full alarms</t>
  </si>
  <si>
    <t>Alarm / safety</t>
  </si>
  <si>
    <t>Buzzer</t>
  </si>
  <si>
    <t>POT-10K-1</t>
  </si>
  <si>
    <t>https://wokwi.com/</t>
  </si>
  <si>
    <t>Wokwi input representing CO₂ entering the system</t>
  </si>
  <si>
    <t>CO₂ entering system</t>
  </si>
  <si>
    <t>Potentiometer 2</t>
  </si>
  <si>
    <t>POT-10K-2</t>
  </si>
  <si>
    <t>Wokwi input representing regeneration-heater intensity</t>
  </si>
  <si>
    <t>Regeneration heater</t>
  </si>
  <si>
    <t>LDR / photoresistor module</t>
  </si>
  <si>
    <t>LDR-MODULE</t>
  </si>
  <si>
    <t>Wokwi sunlight/PV availability input</t>
  </si>
  <si>
    <t>Solar PV availability</t>
  </si>
  <si>
    <t>LDR / sunlight simulation</t>
  </si>
  <si>
    <t>Silicone tubing, barbed fittings and clamps</t>
  </si>
  <si>
    <t>Local hardware/electronics supplier</t>
  </si>
  <si>
    <t>TUBE-4MM-KIT</t>
  </si>
  <si>
    <t>https://www.adafruit.com/category/109</t>
  </si>
  <si>
    <t>Gas/water/product routing</t>
  </si>
  <si>
    <t>Physical plumbing</t>
  </si>
  <si>
    <t>Breadboard, jumper wires and terminal blocks</t>
  </si>
  <si>
    <t>PROTO-WIRE-KIT</t>
  </si>
  <si>
    <t>https://www.adafruit.com/category/82</t>
  </si>
  <si>
    <t>Prototype interconnection</t>
  </si>
  <si>
    <t>Wokwi wiring equivalent</t>
  </si>
  <si>
    <t>5 V 0.6 W mini solar panel</t>
  </si>
  <si>
    <t>Adafruit / Voltaic</t>
  </si>
  <si>
    <t>5856</t>
  </si>
  <si>
    <t>https://www.adafruit.com/product/5856</t>
  </si>
  <si>
    <t>Published price; in stock at search time</t>
  </si>
  <si>
    <t>Solar PV power source</t>
  </si>
  <si>
    <t>Power/battery simulation</t>
  </si>
  <si>
    <t>3.7 V rechargeable battery</t>
  </si>
  <si>
    <t>Generic battery supplier</t>
  </si>
  <si>
    <t>18650-3V7-2600</t>
  </si>
  <si>
    <t>https://www.adafruit.com/category/574</t>
  </si>
  <si>
    <t>Verify protected cell compatibility</t>
  </si>
  <si>
    <t>Energy storage</t>
  </si>
  <si>
    <t>Acrylic/plywood enclosure materials</t>
  </si>
  <si>
    <t>Local fabrication supplier</t>
  </si>
  <si>
    <t>ENCLOSURE-SHEET-KIT</t>
  </si>
  <si>
    <t>https://www.adafruit.com/category/72</t>
  </si>
  <si>
    <t>System enclosure</t>
  </si>
  <si>
    <t>Physical assembly</t>
  </si>
  <si>
    <t>Laboratory/materials supplier</t>
  </si>
  <si>
    <t>Exact chemistry requires validation</t>
  </si>
  <si>
    <t>CO₂ capture column</t>
  </si>
  <si>
    <t>Not represented in Wokwi</t>
  </si>
  <si>
    <t>FINAL TOTAL</t>
  </si>
  <si>
    <t>Item</t>
  </si>
  <si>
    <t>Value</t>
  </si>
  <si>
    <t>Currency</t>
  </si>
  <si>
    <t>ZAR</t>
  </si>
  <si>
    <t>Price basis</t>
  </si>
  <si>
    <t>Published web prices where available; otherwise clearly marked budget estimates. Converted using 1 USD = R15.96 and 1 EUR = R18.5326.</t>
  </si>
  <si>
    <t>Published source example</t>
  </si>
  <si>
    <t>MH-Z19B listing: KES 6,500, SKU 3188; reconfirm availability before purchase</t>
  </si>
  <si>
    <t>Adafruit product 5856: $8.95</t>
  </si>
  <si>
    <t>Solar Power Manager WS-26363: EUR 16.36, battery not included</t>
  </si>
  <si>
    <t>Exclusions</t>
  </si>
  <si>
    <t>Shipping, taxes, customs, local fabrication, laboratory analysis and chemical validation</t>
  </si>
  <si>
    <t>Safety</t>
  </si>
  <si>
    <t>The future physical prototype requires appropriate electrical isolation, fuse protection, thermal protection and safe handling of gases and chemicals.</t>
  </si>
  <si>
    <t>Exchange-rate source</t>
  </si>
  <si>
    <t>Indicative 8 September 2026 reference rate: 1 USD = R15.9609; retail bank/card rates may differ.</t>
  </si>
  <si>
    <t>Arduino source</t>
  </si>
  <si>
    <t>Arduino UNO Rev3 official price: EUR 29.30, converted to approximately R543.00.</t>
  </si>
  <si>
    <t>Wokwi mapping</t>
  </si>
  <si>
    <t>Updated to reflect the supplied component/status table and reference system diagrams.</t>
  </si>
  <si>
    <t>Simulation scope</t>
  </si>
  <si>
    <t>LDR/sunlight, Potentiometer 1/CO₂ input, Potentiometer 2/heater simulation, OLED, push button and three LEDs are implemented representations.</t>
  </si>
  <si>
    <t>Outstanding Wokwi items</t>
  </si>
  <si>
    <t>DHT22, servo motor, buzzer, water-level simulation, formate-level simulation and power/battery simulation are marked not yet implemented.</t>
  </si>
  <si>
    <t>Physical-system note</t>
  </si>
  <si>
    <t>The reference diagrams show solar PV, air intake/fan, CO₂ capture column, regeneration heater, CO₂ buffer, electrochemical conversion cell, water storage/pump, formate tank, power management and monitoring/control instrumentation.</t>
  </si>
  <si>
    <t xml:space="preserve">Budget currency: ZAR  | Prices exclude shipping, taxes, customs and fabrication changes </t>
  </si>
  <si>
    <t xml:space="preserve">BILL OF MATERIALS </t>
  </si>
  <si>
    <t>https://www.sigmaaldrich.com</t>
  </si>
  <si>
    <t>Branched Polyethynimine (PEI)</t>
  </si>
  <si>
    <t>CAS 9002-98-6</t>
  </si>
  <si>
    <t>Open-Cell Polyurethane Foam (polyether)</t>
  </si>
  <si>
    <t>https://olof-foam.co.za/shop-materials/fire-retardant-foam/fr-open-cell-foam-sheet/</t>
  </si>
  <si>
    <t>Olof foam</t>
  </si>
  <si>
    <t>SKU-FRCAPUS95B20</t>
  </si>
  <si>
    <t>Support structure for the solid amine sorbent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</si>
</sst>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i/>
      <sz val="11"/>
      <color rgb="FF9C0006"/>
      <name val="Calibri"/>
    </font>
    <font>
      <i/>
      <sz val="11"/>
      <color rgb="FF404040"/>
      <name val="Calibri"/>
    </font>
    <font>
      <b/>
      <sz val="11"/>
      <name val="Calibri"/>
    </font>
    <font>
      <u/>
      <sz val="11"/>
      <color rgb="FF0563C1"/>
      <name val="Calibri"/>
    </font>
    <font>
      <b/>
      <sz val="11"/>
      <color rgb="FFFF0000"/>
      <name val="Calibri"/>
      <family val="2"/>
    </font>
    <font>
      <b/>
      <sz val="16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0" borderId="0" xfId="1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5" fillId="5" borderId="1" xfId="0" applyFont="1" applyFill="1" applyBorder="1"/>
    <xf numFmtId="0" fontId="1" fillId="2" borderId="0" xfId="0" applyFont="1" applyFill="1" applyAlignment="1">
      <alignment vertical="top" wrapText="1"/>
    </xf>
    <xf numFmtId="0" fontId="6" fillId="0" borderId="0" xfId="1" applyFont="1"/>
    <xf numFmtId="0" fontId="7" fillId="5" borderId="1" xfId="0" applyFont="1" applyFill="1" applyBorder="1"/>
    <xf numFmtId="164" fontId="7" fillId="5" borderId="1" xfId="0" applyNumberFormat="1" applyFont="1" applyFill="1" applyBorder="1"/>
    <xf numFmtId="0" fontId="8" fillId="2" borderId="0" xfId="0" applyFont="1" applyFill="1"/>
    <xf numFmtId="0" fontId="0" fillId="0" borderId="0" xfId="0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afruit.com/category/365" TargetMode="External"/><Relationship Id="rId13" Type="http://schemas.openxmlformats.org/officeDocument/2006/relationships/hyperlink" Target="https://www.adafruit.com/category/84" TargetMode="External"/><Relationship Id="rId18" Type="http://schemas.openxmlformats.org/officeDocument/2006/relationships/hyperlink" Target="https://www.adafruit.com/category/82" TargetMode="External"/><Relationship Id="rId3" Type="http://schemas.openxmlformats.org/officeDocument/2006/relationships/hyperlink" Target="https://www.adafruit.com/product/385" TargetMode="External"/><Relationship Id="rId21" Type="http://schemas.openxmlformats.org/officeDocument/2006/relationships/hyperlink" Target="https://www.adafruit.com/category/72" TargetMode="External"/><Relationship Id="rId7" Type="http://schemas.openxmlformats.org/officeDocument/2006/relationships/hyperlink" Target="https://www.adafruit.com/category/37" TargetMode="External"/><Relationship Id="rId12" Type="http://schemas.openxmlformats.org/officeDocument/2006/relationships/hyperlink" Target="https://www.adafruit.com/product/1150" TargetMode="External"/><Relationship Id="rId17" Type="http://schemas.openxmlformats.org/officeDocument/2006/relationships/hyperlink" Target="https://www.adafruit.com/category/109" TargetMode="External"/><Relationship Id="rId2" Type="http://schemas.openxmlformats.org/officeDocument/2006/relationships/hyperlink" Target="https://store.nerokas.co.ke/SKU-3188" TargetMode="External"/><Relationship Id="rId16" Type="http://schemas.openxmlformats.org/officeDocument/2006/relationships/hyperlink" Target="https://wokwi.com/" TargetMode="External"/><Relationship Id="rId20" Type="http://schemas.openxmlformats.org/officeDocument/2006/relationships/hyperlink" Target="https://www.adafruit.com/category/574" TargetMode="External"/><Relationship Id="rId1" Type="http://schemas.openxmlformats.org/officeDocument/2006/relationships/hyperlink" Target="https://store.arduino.cc/products/arduino-uno-rev3" TargetMode="External"/><Relationship Id="rId6" Type="http://schemas.openxmlformats.org/officeDocument/2006/relationships/hyperlink" Target="https://www.adafruit.com/product/169" TargetMode="External"/><Relationship Id="rId11" Type="http://schemas.openxmlformats.org/officeDocument/2006/relationships/hyperlink" Target="https://www.adafruit.com/category/569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adafruit.com/product/938" TargetMode="External"/><Relationship Id="rId15" Type="http://schemas.openxmlformats.org/officeDocument/2006/relationships/hyperlink" Target="https://wokwi.com/" TargetMode="External"/><Relationship Id="rId23" Type="http://schemas.openxmlformats.org/officeDocument/2006/relationships/hyperlink" Target="https://olof-foam.co.za/shop-materials/fire-retardant-foam/fr-open-cell-foam-sheet/" TargetMode="External"/><Relationship Id="rId10" Type="http://schemas.openxmlformats.org/officeDocument/2006/relationships/hyperlink" Target="https://www.elecrow.com/quad-mosfet-cnc-io-module.html" TargetMode="External"/><Relationship Id="rId19" Type="http://schemas.openxmlformats.org/officeDocument/2006/relationships/hyperlink" Target="https://www.adafruit.com/product/5856" TargetMode="External"/><Relationship Id="rId4" Type="http://schemas.openxmlformats.org/officeDocument/2006/relationships/hyperlink" Target="https://www.dfrobot.com/product-1083.html" TargetMode="External"/><Relationship Id="rId9" Type="http://schemas.openxmlformats.org/officeDocument/2006/relationships/hyperlink" Target="https://www.mouser.ca/c/electromechanical/switches/pushbutton-switches/" TargetMode="External"/><Relationship Id="rId14" Type="http://schemas.openxmlformats.org/officeDocument/2006/relationships/hyperlink" Target="https://wokwi.com/" TargetMode="External"/><Relationship Id="rId22" Type="http://schemas.openxmlformats.org/officeDocument/2006/relationships/hyperlink" Target="https://www.sigmaaldri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C1" workbookViewId="0">
      <pane ySplit="4" topLeftCell="A24" activePane="bottomLeft" state="frozen"/>
      <selection pane="bottomLeft" activeCell="H28" sqref="H28"/>
    </sheetView>
  </sheetViews>
  <sheetFormatPr defaultRowHeight="14.5" x14ac:dyDescent="0.35"/>
  <cols>
    <col min="1" max="1" width="38" customWidth="1"/>
    <col min="2" max="2" width="10" customWidth="1"/>
    <col min="3" max="3" width="16" customWidth="1"/>
    <col min="4" max="4" width="25" customWidth="1"/>
    <col min="5" max="5" width="22" customWidth="1"/>
    <col min="6" max="6" width="76.453125" customWidth="1"/>
    <col min="7" max="7" width="16" customWidth="1"/>
    <col min="8" max="8" width="17" customWidth="1"/>
    <col min="9" max="9" width="20" customWidth="1"/>
    <col min="10" max="10" width="52" customWidth="1"/>
    <col min="11" max="11" width="28" customWidth="1"/>
    <col min="12" max="12" width="26" customWidth="1"/>
  </cols>
  <sheetData>
    <row r="1" spans="1:12" ht="26" customHeight="1" x14ac:dyDescent="0.5">
      <c r="A1" s="14" t="s">
        <v>166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24" customHeight="1" x14ac:dyDescent="0.35">
      <c r="A2" s="16" t="s">
        <v>165</v>
      </c>
      <c r="B2" s="15"/>
      <c r="C2" s="15"/>
      <c r="D2" s="15"/>
      <c r="E2" s="15"/>
      <c r="F2" s="15"/>
      <c r="G2" s="15"/>
      <c r="H2" s="15"/>
      <c r="I2" s="15"/>
      <c r="J2" s="15"/>
    </row>
    <row r="4" spans="1:12" ht="36" customHeight="1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1:12" ht="42" customHeight="1" x14ac:dyDescent="0.35">
      <c r="A5" s="5" t="s">
        <v>12</v>
      </c>
      <c r="B5" s="5">
        <v>1</v>
      </c>
      <c r="C5" s="6">
        <v>543.00518</v>
      </c>
      <c r="D5" s="5" t="s">
        <v>13</v>
      </c>
      <c r="E5" s="5" t="s">
        <v>14</v>
      </c>
      <c r="F5" s="11" t="s">
        <v>15</v>
      </c>
      <c r="G5" s="6">
        <f t="shared" ref="G5:G21" si="0">B5*C5</f>
        <v>543.00518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</row>
    <row r="6" spans="1:12" ht="42" customHeight="1" x14ac:dyDescent="0.35">
      <c r="A6" s="7" t="s">
        <v>21</v>
      </c>
      <c r="B6" s="7">
        <v>1</v>
      </c>
      <c r="C6" s="8">
        <v>798</v>
      </c>
      <c r="D6" s="7" t="s">
        <v>22</v>
      </c>
      <c r="E6" s="7" t="s">
        <v>23</v>
      </c>
      <c r="F6" s="11" t="s">
        <v>24</v>
      </c>
      <c r="G6" s="8">
        <f t="shared" si="0"/>
        <v>798</v>
      </c>
      <c r="H6" s="7" t="s">
        <v>16</v>
      </c>
      <c r="I6" s="7" t="s">
        <v>17</v>
      </c>
      <c r="J6" s="7" t="s">
        <v>25</v>
      </c>
      <c r="K6" s="7" t="s">
        <v>26</v>
      </c>
      <c r="L6" s="7" t="s">
        <v>27</v>
      </c>
    </row>
    <row r="7" spans="1:12" ht="42" customHeight="1" x14ac:dyDescent="0.35">
      <c r="A7" s="5" t="s">
        <v>28</v>
      </c>
      <c r="B7" s="5">
        <v>1</v>
      </c>
      <c r="C7" s="6">
        <v>120</v>
      </c>
      <c r="D7" s="5" t="s">
        <v>29</v>
      </c>
      <c r="E7" s="5" t="s">
        <v>30</v>
      </c>
      <c r="F7" s="3" t="s">
        <v>31</v>
      </c>
      <c r="G7" s="6">
        <f t="shared" si="0"/>
        <v>120</v>
      </c>
      <c r="H7" s="5" t="s">
        <v>32</v>
      </c>
      <c r="I7" s="5" t="s">
        <v>17</v>
      </c>
      <c r="J7" s="5" t="s">
        <v>33</v>
      </c>
      <c r="K7" s="5" t="s">
        <v>34</v>
      </c>
      <c r="L7" s="5" t="s">
        <v>30</v>
      </c>
    </row>
    <row r="8" spans="1:12" ht="42" customHeight="1" x14ac:dyDescent="0.35">
      <c r="A8" s="5" t="s">
        <v>170</v>
      </c>
      <c r="B8" s="5">
        <v>1</v>
      </c>
      <c r="C8" s="6">
        <v>811</v>
      </c>
      <c r="D8" s="5" t="s">
        <v>172</v>
      </c>
      <c r="E8" s="5" t="s">
        <v>173</v>
      </c>
      <c r="F8" s="3" t="s">
        <v>171</v>
      </c>
      <c r="G8" s="6">
        <f t="shared" si="0"/>
        <v>811</v>
      </c>
      <c r="H8" s="5" t="s">
        <v>32</v>
      </c>
      <c r="I8" s="5" t="s">
        <v>17</v>
      </c>
      <c r="J8" s="5"/>
      <c r="K8" s="5" t="s">
        <v>174</v>
      </c>
      <c r="L8" s="5"/>
    </row>
    <row r="9" spans="1:12" ht="42" customHeight="1" x14ac:dyDescent="0.35">
      <c r="A9" s="7" t="s">
        <v>35</v>
      </c>
      <c r="B9" s="7">
        <v>1</v>
      </c>
      <c r="C9" s="8">
        <v>63.84</v>
      </c>
      <c r="D9" s="7" t="s">
        <v>29</v>
      </c>
      <c r="E9" s="7" t="s">
        <v>36</v>
      </c>
      <c r="F9" s="3" t="s">
        <v>37</v>
      </c>
      <c r="G9" s="8">
        <f t="shared" si="0"/>
        <v>63.84</v>
      </c>
      <c r="H9" s="7" t="s">
        <v>32</v>
      </c>
      <c r="I9" s="7" t="s">
        <v>17</v>
      </c>
      <c r="J9" s="7" t="s">
        <v>38</v>
      </c>
      <c r="K9" s="7" t="s">
        <v>39</v>
      </c>
      <c r="L9" s="7" t="s">
        <v>40</v>
      </c>
    </row>
    <row r="10" spans="1:12" ht="42" customHeight="1" x14ac:dyDescent="0.35">
      <c r="A10" s="5" t="s">
        <v>41</v>
      </c>
      <c r="B10" s="5">
        <v>1</v>
      </c>
      <c r="C10" s="6">
        <v>95.76</v>
      </c>
      <c r="D10" s="5" t="s">
        <v>29</v>
      </c>
      <c r="E10" s="5" t="s">
        <v>42</v>
      </c>
      <c r="F10" s="11" t="s">
        <v>43</v>
      </c>
      <c r="G10" s="6">
        <f t="shared" si="0"/>
        <v>95.76</v>
      </c>
      <c r="H10" s="5" t="s">
        <v>32</v>
      </c>
      <c r="I10" s="5" t="s">
        <v>17</v>
      </c>
      <c r="J10" s="5" t="s">
        <v>32</v>
      </c>
      <c r="K10" s="5" t="s">
        <v>44</v>
      </c>
      <c r="L10" s="5" t="s">
        <v>45</v>
      </c>
    </row>
    <row r="11" spans="1:12" ht="42" customHeight="1" x14ac:dyDescent="0.35">
      <c r="A11" s="7" t="s">
        <v>46</v>
      </c>
      <c r="B11" s="7">
        <v>1</v>
      </c>
      <c r="C11" s="8">
        <v>79.8</v>
      </c>
      <c r="D11" s="7" t="s">
        <v>29</v>
      </c>
      <c r="E11" s="7" t="s">
        <v>47</v>
      </c>
      <c r="F11" s="11" t="s">
        <v>48</v>
      </c>
      <c r="G11" s="8">
        <f t="shared" si="0"/>
        <v>79.8</v>
      </c>
      <c r="H11" s="7" t="s">
        <v>32</v>
      </c>
      <c r="I11" s="7" t="s">
        <v>17</v>
      </c>
      <c r="J11" s="7" t="s">
        <v>32</v>
      </c>
      <c r="K11" s="7" t="s">
        <v>49</v>
      </c>
      <c r="L11" s="7" t="s">
        <v>50</v>
      </c>
    </row>
    <row r="12" spans="1:12" ht="42" customHeight="1" x14ac:dyDescent="0.35">
      <c r="A12" s="5" t="s">
        <v>51</v>
      </c>
      <c r="B12" s="5">
        <v>1</v>
      </c>
      <c r="C12" s="6">
        <v>47.88</v>
      </c>
      <c r="D12" s="5" t="s">
        <v>29</v>
      </c>
      <c r="E12" s="5" t="s">
        <v>52</v>
      </c>
      <c r="F12" s="3" t="s">
        <v>53</v>
      </c>
      <c r="G12" s="6">
        <f t="shared" si="0"/>
        <v>47.88</v>
      </c>
      <c r="H12" s="5" t="s">
        <v>32</v>
      </c>
      <c r="I12" s="5" t="s">
        <v>17</v>
      </c>
      <c r="J12" s="5" t="s">
        <v>54</v>
      </c>
      <c r="K12" s="5" t="s">
        <v>55</v>
      </c>
      <c r="L12" s="5" t="s">
        <v>56</v>
      </c>
    </row>
    <row r="13" spans="1:12" ht="42" customHeight="1" x14ac:dyDescent="0.35">
      <c r="A13" s="7" t="s">
        <v>57</v>
      </c>
      <c r="B13" s="7">
        <v>1</v>
      </c>
      <c r="C13" s="8">
        <v>31.92</v>
      </c>
      <c r="D13" s="7" t="s">
        <v>29</v>
      </c>
      <c r="E13" s="7" t="s">
        <v>58</v>
      </c>
      <c r="F13" s="11" t="s">
        <v>59</v>
      </c>
      <c r="G13" s="8">
        <f t="shared" si="0"/>
        <v>31.92</v>
      </c>
      <c r="H13" s="7" t="s">
        <v>32</v>
      </c>
      <c r="I13" s="7" t="s">
        <v>17</v>
      </c>
      <c r="J13" s="7" t="s">
        <v>32</v>
      </c>
      <c r="K13" s="7" t="s">
        <v>60</v>
      </c>
      <c r="L13" s="7" t="s">
        <v>61</v>
      </c>
    </row>
    <row r="14" spans="1:12" ht="42" customHeight="1" x14ac:dyDescent="0.35">
      <c r="A14" s="5" t="s">
        <v>62</v>
      </c>
      <c r="B14" s="5">
        <v>1</v>
      </c>
      <c r="C14" s="6">
        <v>143.63999999999999</v>
      </c>
      <c r="D14" s="5" t="s">
        <v>63</v>
      </c>
      <c r="E14" s="5" t="s">
        <v>64</v>
      </c>
      <c r="F14" s="11" t="s">
        <v>65</v>
      </c>
      <c r="G14" s="6">
        <f t="shared" si="0"/>
        <v>143.63999999999999</v>
      </c>
      <c r="H14" s="5" t="s">
        <v>32</v>
      </c>
      <c r="I14" s="5" t="s">
        <v>17</v>
      </c>
      <c r="J14" s="5" t="s">
        <v>66</v>
      </c>
      <c r="K14" s="5" t="s">
        <v>67</v>
      </c>
      <c r="L14" s="5" t="s">
        <v>68</v>
      </c>
    </row>
    <row r="15" spans="1:12" ht="42" customHeight="1" x14ac:dyDescent="0.35">
      <c r="A15" s="7" t="s">
        <v>69</v>
      </c>
      <c r="B15" s="7">
        <v>2</v>
      </c>
      <c r="C15" s="8">
        <v>63.84</v>
      </c>
      <c r="D15" s="7" t="s">
        <v>29</v>
      </c>
      <c r="E15" s="7" t="s">
        <v>70</v>
      </c>
      <c r="F15" s="11" t="s">
        <v>71</v>
      </c>
      <c r="G15" s="8">
        <f t="shared" si="0"/>
        <v>127.68</v>
      </c>
      <c r="H15" s="7" t="s">
        <v>32</v>
      </c>
      <c r="I15" s="7" t="s">
        <v>17</v>
      </c>
      <c r="J15" s="7" t="s">
        <v>32</v>
      </c>
      <c r="K15" s="7" t="s">
        <v>72</v>
      </c>
      <c r="L15" s="7" t="s">
        <v>73</v>
      </c>
    </row>
    <row r="16" spans="1:12" ht="42" customHeight="1" x14ac:dyDescent="0.35">
      <c r="A16" s="5" t="s">
        <v>74</v>
      </c>
      <c r="B16" s="5">
        <v>1</v>
      </c>
      <c r="C16" s="6">
        <v>127.68</v>
      </c>
      <c r="D16" s="5" t="s">
        <v>29</v>
      </c>
      <c r="E16" s="5" t="s">
        <v>75</v>
      </c>
      <c r="F16" s="11" t="s">
        <v>76</v>
      </c>
      <c r="G16" s="6">
        <f t="shared" si="0"/>
        <v>127.68</v>
      </c>
      <c r="H16" s="5" t="s">
        <v>32</v>
      </c>
      <c r="I16" s="5" t="s">
        <v>17</v>
      </c>
      <c r="J16" s="5" t="s">
        <v>32</v>
      </c>
      <c r="K16" s="5" t="s">
        <v>77</v>
      </c>
      <c r="L16" s="5" t="s">
        <v>78</v>
      </c>
    </row>
    <row r="17" spans="1:12" ht="42" customHeight="1" x14ac:dyDescent="0.35">
      <c r="A17" s="7" t="s">
        <v>79</v>
      </c>
      <c r="B17" s="7">
        <v>1</v>
      </c>
      <c r="C17" s="8">
        <v>159.6</v>
      </c>
      <c r="D17" s="7" t="s">
        <v>29</v>
      </c>
      <c r="E17" s="7" t="s">
        <v>80</v>
      </c>
      <c r="F17" s="11" t="s">
        <v>81</v>
      </c>
      <c r="G17" s="8">
        <f t="shared" si="0"/>
        <v>159.6</v>
      </c>
      <c r="H17" s="7" t="s">
        <v>32</v>
      </c>
      <c r="I17" s="7" t="s">
        <v>17</v>
      </c>
      <c r="J17" s="7" t="s">
        <v>82</v>
      </c>
      <c r="K17" s="7" t="s">
        <v>83</v>
      </c>
      <c r="L17" s="7" t="s">
        <v>84</v>
      </c>
    </row>
    <row r="18" spans="1:12" ht="42" customHeight="1" x14ac:dyDescent="0.35">
      <c r="A18" s="5" t="s">
        <v>85</v>
      </c>
      <c r="B18" s="5">
        <v>1</v>
      </c>
      <c r="C18" s="6">
        <v>35</v>
      </c>
      <c r="D18" s="5" t="s">
        <v>29</v>
      </c>
      <c r="E18" s="5" t="s">
        <v>86</v>
      </c>
      <c r="F18" s="11" t="s">
        <v>87</v>
      </c>
      <c r="G18" s="6">
        <f t="shared" si="0"/>
        <v>35</v>
      </c>
      <c r="H18" s="5" t="s">
        <v>32</v>
      </c>
      <c r="I18" s="5" t="s">
        <v>17</v>
      </c>
      <c r="J18" s="5" t="s">
        <v>88</v>
      </c>
      <c r="K18" s="5" t="s">
        <v>89</v>
      </c>
      <c r="L18" s="5" t="s">
        <v>90</v>
      </c>
    </row>
    <row r="19" spans="1:12" ht="42" customHeight="1" x14ac:dyDescent="0.35">
      <c r="A19" s="7" t="s">
        <v>27</v>
      </c>
      <c r="B19" s="7">
        <v>1</v>
      </c>
      <c r="C19" s="8">
        <v>15</v>
      </c>
      <c r="D19" s="7" t="s">
        <v>29</v>
      </c>
      <c r="E19" s="7" t="s">
        <v>91</v>
      </c>
      <c r="F19" s="11" t="s">
        <v>92</v>
      </c>
      <c r="G19" s="8">
        <f t="shared" si="0"/>
        <v>15</v>
      </c>
      <c r="H19" s="7" t="s">
        <v>32</v>
      </c>
      <c r="I19" s="7" t="s">
        <v>17</v>
      </c>
      <c r="J19" s="7" t="s">
        <v>93</v>
      </c>
      <c r="K19" s="7" t="s">
        <v>94</v>
      </c>
      <c r="L19" s="7" t="s">
        <v>27</v>
      </c>
    </row>
    <row r="20" spans="1:12" ht="42" customHeight="1" x14ac:dyDescent="0.35">
      <c r="A20" s="5" t="s">
        <v>95</v>
      </c>
      <c r="B20" s="5">
        <v>1</v>
      </c>
      <c r="C20" s="6">
        <v>15</v>
      </c>
      <c r="D20" s="5" t="s">
        <v>29</v>
      </c>
      <c r="E20" s="5" t="s">
        <v>96</v>
      </c>
      <c r="F20" s="11" t="s">
        <v>92</v>
      </c>
      <c r="G20" s="6">
        <f t="shared" si="0"/>
        <v>15</v>
      </c>
      <c r="H20" s="5" t="s">
        <v>32</v>
      </c>
      <c r="I20" s="5" t="s">
        <v>17</v>
      </c>
      <c r="J20" s="5" t="s">
        <v>97</v>
      </c>
      <c r="K20" s="5" t="s">
        <v>98</v>
      </c>
      <c r="L20" s="5" t="s">
        <v>95</v>
      </c>
    </row>
    <row r="21" spans="1:12" ht="42" customHeight="1" x14ac:dyDescent="0.35">
      <c r="A21" s="7" t="s">
        <v>99</v>
      </c>
      <c r="B21" s="7">
        <v>1</v>
      </c>
      <c r="C21" s="8">
        <v>20</v>
      </c>
      <c r="D21" s="7" t="s">
        <v>29</v>
      </c>
      <c r="E21" s="7" t="s">
        <v>100</v>
      </c>
      <c r="F21" s="11" t="s">
        <v>92</v>
      </c>
      <c r="G21" s="8">
        <f t="shared" si="0"/>
        <v>20</v>
      </c>
      <c r="H21" s="7" t="s">
        <v>32</v>
      </c>
      <c r="I21" s="7" t="s">
        <v>17</v>
      </c>
      <c r="J21" s="7" t="s">
        <v>101</v>
      </c>
      <c r="K21" s="7" t="s">
        <v>102</v>
      </c>
      <c r="L21" s="7" t="s">
        <v>103</v>
      </c>
    </row>
    <row r="22" spans="1:12" ht="42" customHeight="1" x14ac:dyDescent="0.35">
      <c r="A22" s="7" t="s">
        <v>104</v>
      </c>
      <c r="B22" s="7">
        <v>1</v>
      </c>
      <c r="C22" s="8">
        <v>127.68</v>
      </c>
      <c r="D22" s="7" t="s">
        <v>105</v>
      </c>
      <c r="E22" s="7" t="s">
        <v>106</v>
      </c>
      <c r="F22" s="11" t="s">
        <v>107</v>
      </c>
      <c r="G22" s="8">
        <f t="shared" ref="G22:G27" si="1">B22*C22</f>
        <v>127.68</v>
      </c>
      <c r="H22" s="7" t="s">
        <v>32</v>
      </c>
      <c r="I22" s="7" t="s">
        <v>17</v>
      </c>
      <c r="J22" s="7" t="s">
        <v>32</v>
      </c>
      <c r="K22" s="7" t="s">
        <v>108</v>
      </c>
      <c r="L22" s="7" t="s">
        <v>109</v>
      </c>
    </row>
    <row r="23" spans="1:12" ht="42" customHeight="1" x14ac:dyDescent="0.35">
      <c r="A23" s="5" t="s">
        <v>110</v>
      </c>
      <c r="B23" s="5">
        <v>1</v>
      </c>
      <c r="C23" s="6">
        <v>159.6</v>
      </c>
      <c r="D23" s="5" t="s">
        <v>29</v>
      </c>
      <c r="E23" s="5" t="s">
        <v>111</v>
      </c>
      <c r="F23" s="11" t="s">
        <v>112</v>
      </c>
      <c r="G23" s="6">
        <f t="shared" si="1"/>
        <v>159.6</v>
      </c>
      <c r="H23" s="5" t="s">
        <v>32</v>
      </c>
      <c r="I23" s="5" t="s">
        <v>17</v>
      </c>
      <c r="J23" s="5" t="s">
        <v>32</v>
      </c>
      <c r="K23" s="5" t="s">
        <v>113</v>
      </c>
      <c r="L23" s="5" t="s">
        <v>114</v>
      </c>
    </row>
    <row r="24" spans="1:12" ht="42" customHeight="1" x14ac:dyDescent="0.35">
      <c r="A24" s="7" t="s">
        <v>115</v>
      </c>
      <c r="B24" s="7">
        <v>1</v>
      </c>
      <c r="C24" s="8">
        <v>142.84</v>
      </c>
      <c r="D24" s="7" t="s">
        <v>116</v>
      </c>
      <c r="E24" s="7" t="s">
        <v>117</v>
      </c>
      <c r="F24" s="11" t="s">
        <v>118</v>
      </c>
      <c r="G24" s="8">
        <f t="shared" si="1"/>
        <v>142.84</v>
      </c>
      <c r="H24" s="7" t="s">
        <v>16</v>
      </c>
      <c r="I24" s="7" t="s">
        <v>17</v>
      </c>
      <c r="J24" s="7" t="s">
        <v>119</v>
      </c>
      <c r="K24" s="7" t="s">
        <v>120</v>
      </c>
      <c r="L24" s="7" t="s">
        <v>103</v>
      </c>
    </row>
    <row r="25" spans="1:12" ht="42" customHeight="1" x14ac:dyDescent="0.35">
      <c r="A25" s="7" t="s">
        <v>122</v>
      </c>
      <c r="B25" s="7">
        <v>1</v>
      </c>
      <c r="C25" s="8">
        <v>127.68</v>
      </c>
      <c r="D25" s="7" t="s">
        <v>123</v>
      </c>
      <c r="E25" s="7" t="s">
        <v>124</v>
      </c>
      <c r="F25" s="11" t="s">
        <v>125</v>
      </c>
      <c r="G25" s="8">
        <f t="shared" si="1"/>
        <v>127.68</v>
      </c>
      <c r="H25" s="7" t="s">
        <v>32</v>
      </c>
      <c r="I25" s="7" t="s">
        <v>17</v>
      </c>
      <c r="J25" s="7" t="s">
        <v>126</v>
      </c>
      <c r="K25" s="7" t="s">
        <v>127</v>
      </c>
      <c r="L25" s="7" t="s">
        <v>121</v>
      </c>
    </row>
    <row r="26" spans="1:12" ht="42" customHeight="1" x14ac:dyDescent="0.35">
      <c r="A26" s="5" t="s">
        <v>128</v>
      </c>
      <c r="B26" s="5">
        <v>1</v>
      </c>
      <c r="C26" s="6">
        <v>239.4</v>
      </c>
      <c r="D26" s="5" t="s">
        <v>129</v>
      </c>
      <c r="E26" s="5" t="s">
        <v>130</v>
      </c>
      <c r="F26" s="11" t="s">
        <v>131</v>
      </c>
      <c r="G26" s="6">
        <f t="shared" si="1"/>
        <v>239.4</v>
      </c>
      <c r="H26" s="5" t="s">
        <v>32</v>
      </c>
      <c r="I26" s="5" t="s">
        <v>17</v>
      </c>
      <c r="J26" s="5" t="s">
        <v>32</v>
      </c>
      <c r="K26" s="5" t="s">
        <v>132</v>
      </c>
      <c r="L26" s="5" t="s">
        <v>133</v>
      </c>
    </row>
    <row r="27" spans="1:12" ht="29" x14ac:dyDescent="0.35">
      <c r="A27" s="5" t="s">
        <v>168</v>
      </c>
      <c r="B27" s="5">
        <v>1</v>
      </c>
      <c r="C27" s="6">
        <v>1844.36</v>
      </c>
      <c r="D27" s="5" t="s">
        <v>134</v>
      </c>
      <c r="E27" s="5" t="s">
        <v>169</v>
      </c>
      <c r="F27" s="3" t="s">
        <v>167</v>
      </c>
      <c r="G27" s="6">
        <f t="shared" si="1"/>
        <v>1844.36</v>
      </c>
      <c r="H27" s="5" t="s">
        <v>32</v>
      </c>
      <c r="I27" s="5" t="s">
        <v>17</v>
      </c>
      <c r="J27" s="5" t="s">
        <v>135</v>
      </c>
      <c r="K27" s="5" t="s">
        <v>136</v>
      </c>
      <c r="L27" s="5" t="s">
        <v>137</v>
      </c>
    </row>
    <row r="28" spans="1:12" ht="42" customHeight="1" x14ac:dyDescent="0.35">
      <c r="A28" s="9"/>
      <c r="B28" s="9"/>
      <c r="C28" s="9"/>
      <c r="D28" s="9"/>
      <c r="E28" s="9"/>
      <c r="F28" s="12" t="s">
        <v>138</v>
      </c>
      <c r="G28" s="13">
        <f>SUM(G5:G27)</f>
        <v>5876.3651799999998</v>
      </c>
      <c r="H28" s="9"/>
      <c r="I28" s="9"/>
      <c r="J28" s="9"/>
      <c r="K28" s="9"/>
      <c r="L28" s="9"/>
    </row>
    <row r="29" spans="1:12" ht="42" customHeight="1" x14ac:dyDescent="0.35">
      <c r="A29" s="1"/>
    </row>
    <row r="30" spans="1:12" ht="42" customHeight="1" x14ac:dyDescent="0.35"/>
    <row r="31" spans="1:12" ht="42" customHeight="1" x14ac:dyDescent="0.35"/>
    <row r="32" spans="1:12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</sheetData>
  <autoFilter ref="A4:L30" xr:uid="{00000000-0009-0000-0000-000000000000}"/>
  <mergeCells count="3">
    <mergeCell ref="A1:J1"/>
    <mergeCell ref="A32:L32"/>
    <mergeCell ref="A2:J2"/>
  </mergeCells>
  <hyperlinks>
    <hyperlink ref="F5" r:id="rId1" xr:uid="{00000000-0004-0000-0000-000000000000}"/>
    <hyperlink ref="F6" r:id="rId2" xr:uid="{00000000-0004-0000-0000-000001000000}"/>
    <hyperlink ref="F7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  <hyperlink ref="F15" r:id="rId10" xr:uid="{00000000-0004-0000-0000-000009000000}"/>
    <hyperlink ref="F16" r:id="rId11" xr:uid="{00000000-0004-0000-0000-00000A000000}"/>
    <hyperlink ref="F17" r:id="rId12" xr:uid="{00000000-0004-0000-0000-00000B000000}"/>
    <hyperlink ref="F18" r:id="rId13" xr:uid="{00000000-0004-0000-0000-00000C000000}"/>
    <hyperlink ref="F19" r:id="rId14" xr:uid="{00000000-0004-0000-0000-00000D000000}"/>
    <hyperlink ref="F20" r:id="rId15" xr:uid="{00000000-0004-0000-0000-00000E000000}"/>
    <hyperlink ref="F21" r:id="rId16" xr:uid="{00000000-0004-0000-0000-00000F000000}"/>
    <hyperlink ref="F22" r:id="rId17" xr:uid="{00000000-0004-0000-0000-000010000000}"/>
    <hyperlink ref="F23" r:id="rId18" xr:uid="{00000000-0004-0000-0000-000011000000}"/>
    <hyperlink ref="F24" r:id="rId19" xr:uid="{00000000-0004-0000-0000-000012000000}"/>
    <hyperlink ref="F25" r:id="rId20" xr:uid="{00000000-0004-0000-0000-000013000000}"/>
    <hyperlink ref="F26" r:id="rId21" xr:uid="{00000000-0004-0000-0000-000014000000}"/>
    <hyperlink ref="F27" r:id="rId22" xr:uid="{00000000-0004-0000-0000-000016000000}"/>
    <hyperlink ref="F8" r:id="rId23" xr:uid="{BDA54267-B52E-46F3-8CB3-DD2EAEB65E9A}"/>
  </hyperlinks>
  <pageMargins left="0.75" right="0.75" top="1" bottom="1" header="0.5" footer="0.5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10" customWidth="1"/>
  </cols>
  <sheetData>
    <row r="1" spans="1:2" x14ac:dyDescent="0.35">
      <c r="A1" s="10" t="s">
        <v>139</v>
      </c>
      <c r="B1" s="10" t="s">
        <v>140</v>
      </c>
    </row>
    <row r="2" spans="1:2" ht="35" customHeight="1" x14ac:dyDescent="0.35">
      <c r="A2" s="2" t="s">
        <v>141</v>
      </c>
      <c r="B2" s="2" t="s">
        <v>142</v>
      </c>
    </row>
    <row r="3" spans="1:2" ht="35" customHeight="1" x14ac:dyDescent="0.35">
      <c r="A3" s="2" t="s">
        <v>143</v>
      </c>
      <c r="B3" s="2" t="s">
        <v>144</v>
      </c>
    </row>
    <row r="4" spans="1:2" ht="35" customHeight="1" x14ac:dyDescent="0.35">
      <c r="A4" s="2" t="s">
        <v>145</v>
      </c>
      <c r="B4" s="2" t="s">
        <v>146</v>
      </c>
    </row>
    <row r="5" spans="1:2" ht="35" customHeight="1" x14ac:dyDescent="0.35">
      <c r="A5" s="2" t="s">
        <v>145</v>
      </c>
      <c r="B5" s="2" t="s">
        <v>147</v>
      </c>
    </row>
    <row r="6" spans="1:2" ht="35" customHeight="1" x14ac:dyDescent="0.35">
      <c r="A6" s="2" t="s">
        <v>145</v>
      </c>
      <c r="B6" s="2" t="s">
        <v>148</v>
      </c>
    </row>
    <row r="7" spans="1:2" ht="35" customHeight="1" x14ac:dyDescent="0.35">
      <c r="A7" s="2" t="s">
        <v>149</v>
      </c>
      <c r="B7" s="2" t="s">
        <v>150</v>
      </c>
    </row>
    <row r="8" spans="1:2" ht="35" customHeight="1" x14ac:dyDescent="0.35">
      <c r="A8" s="2" t="s">
        <v>151</v>
      </c>
      <c r="B8" s="2" t="s">
        <v>152</v>
      </c>
    </row>
    <row r="9" spans="1:2" ht="35" customHeight="1" x14ac:dyDescent="0.35">
      <c r="A9" t="s">
        <v>153</v>
      </c>
      <c r="B9" s="2" t="s">
        <v>154</v>
      </c>
    </row>
    <row r="10" spans="1:2" ht="35" customHeight="1" x14ac:dyDescent="0.35">
      <c r="A10" t="s">
        <v>155</v>
      </c>
      <c r="B10" s="2" t="s">
        <v>156</v>
      </c>
    </row>
    <row r="11" spans="1:2" ht="35" customHeight="1" x14ac:dyDescent="0.35">
      <c r="A11" t="s">
        <v>157</v>
      </c>
      <c r="B11" s="2" t="s">
        <v>158</v>
      </c>
    </row>
    <row r="12" spans="1:2" ht="35" customHeight="1" x14ac:dyDescent="0.35">
      <c r="A12" t="s">
        <v>159</v>
      </c>
      <c r="B12" s="2" t="s">
        <v>160</v>
      </c>
    </row>
    <row r="13" spans="1:2" ht="35" customHeight="1" x14ac:dyDescent="0.35">
      <c r="A13" t="s">
        <v>161</v>
      </c>
      <c r="B13" s="2" t="s">
        <v>162</v>
      </c>
    </row>
    <row r="14" spans="1:2" ht="35" customHeight="1" x14ac:dyDescent="0.35">
      <c r="A14" t="s">
        <v>163</v>
      </c>
      <c r="B14" s="2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of Materials</vt:lpstr>
      <vt:lpstr>Assumptions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KETSEPHILE ROSSA RATSHILAYA (202020165)</cp:lastModifiedBy>
  <dcterms:created xsi:type="dcterms:W3CDTF">2026-09-08T11:28:22Z</dcterms:created>
  <dcterms:modified xsi:type="dcterms:W3CDTF">2026-09-09T19:31:45Z</dcterms:modified>
</cp:coreProperties>
</file>